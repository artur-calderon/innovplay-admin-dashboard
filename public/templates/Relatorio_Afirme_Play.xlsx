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ur Calderon\Documents\"/>
    </mc:Choice>
  </mc:AlternateContent>
  <xr:revisionPtr revIDLastSave="0" documentId="13_ncr:1_{59D2E9B6-4E5C-4A5A-934F-5F118B240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" sheetId="1" r:id="rId1"/>
    <sheet name="Matemática" sheetId="2" r:id="rId2"/>
    <sheet name="Níve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F9" i="3"/>
  <c r="E9" i="3"/>
  <c r="F8" i="3"/>
  <c r="E8" i="3"/>
  <c r="F7" i="3"/>
  <c r="E7" i="3"/>
  <c r="F26" i="2"/>
  <c r="G26" i="2" s="1"/>
  <c r="E26" i="2"/>
  <c r="F7" i="2"/>
  <c r="G7" i="2" s="1"/>
  <c r="E7" i="2"/>
  <c r="F26" i="1"/>
  <c r="G26" i="1" s="1"/>
  <c r="E26" i="1"/>
  <c r="F7" i="1"/>
  <c r="G7" i="1" s="1"/>
  <c r="E7" i="1"/>
</calcChain>
</file>

<file path=xl/sharedStrings.xml><?xml version="1.0" encoding="utf-8"?>
<sst xmlns="http://schemas.openxmlformats.org/spreadsheetml/2006/main" count="46" uniqueCount="20">
  <si>
    <t>Afirme Play</t>
  </si>
  <si>
    <t>Relatório de Desempenho Educacional</t>
  </si>
  <si>
    <t>Métrica</t>
  </si>
  <si>
    <t>Avaliação 1</t>
  </si>
  <si>
    <t>Avaliação 2</t>
  </si>
  <si>
    <t>Avaliação 3</t>
  </si>
  <si>
    <t>Var 1-&gt;2</t>
  </si>
  <si>
    <t>Var 2-&gt;3</t>
  </si>
  <si>
    <t>Direção</t>
  </si>
  <si>
    <t>Nota Geral</t>
  </si>
  <si>
    <t>Proficiência Geral</t>
  </si>
  <si>
    <t>Matemática - Detalhamento</t>
  </si>
  <si>
    <t>Nota Matemática</t>
  </si>
  <si>
    <t>Proficiência Matemática</t>
  </si>
  <si>
    <t>Distribuição por Nível de Proficiência</t>
  </si>
  <si>
    <t>Nível</t>
  </si>
  <si>
    <t>Abaixo do Básico</t>
  </si>
  <si>
    <t>Básico</t>
  </si>
  <si>
    <t>Adequado</t>
  </si>
  <si>
    <t>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</si>
</sst>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sz val="12"/>
      <color rgb="FF3B383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Evolução Nota Geral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Nota (0-10)</c:v>
          </c:tx>
          <c:spPr>
            <a:solidFill>
              <a:srgbClr val="4472C4"/>
            </a:solidFill>
          </c:spPr>
          <c:invertIfNegative val="0"/>
          <c:cat>
            <c:numRef>
              <c:f>Geral!$B$7:$D$7</c:f>
              <c:numCache>
                <c:formatCode>General</c:formatCode>
                <c:ptCount val="3"/>
                <c:pt idx="0">
                  <c:v>7.2</c:v>
                </c:pt>
                <c:pt idx="1">
                  <c:v>8.5</c:v>
                </c:pt>
                <c:pt idx="2">
                  <c:v>9.1</c:v>
                </c:pt>
              </c:numCache>
            </c:numRef>
          </c:cat>
          <c:val>
            <c:numRef>
              <c:f>Geral!$B$8:$D$8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A192-4588-AA6E-057714B0B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Variação %</c:v>
          </c:tx>
          <c:spPr>
            <a:ln w="25400">
              <a:solidFill>
                <a:srgbClr val="707170"/>
              </a:solidFill>
            </a:ln>
          </c:spPr>
          <c:marker>
            <c:symbol val="circle"/>
            <c:size val="5"/>
          </c:marker>
          <c:cat>
            <c:numRef>
              <c:f>Geral!$B$7:$D$7</c:f>
              <c:numCache>
                <c:formatCode>General</c:formatCode>
                <c:ptCount val="3"/>
                <c:pt idx="0">
                  <c:v>7.2</c:v>
                </c:pt>
                <c:pt idx="1">
                  <c:v>8.5</c:v>
                </c:pt>
                <c:pt idx="2">
                  <c:v>9.1</c:v>
                </c:pt>
              </c:numCache>
            </c:numRef>
          </c:cat>
          <c:val>
            <c:numRef>
              <c:f>Geral!$E$8:$F$8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2-4588-AA6E-057714B0B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Nota (0-10)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Variação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Evolução Proficiência Geral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Proficiência (0-425)</c:v>
          </c:tx>
          <c:spPr>
            <a:solidFill>
              <a:srgbClr val="4472C4"/>
            </a:solidFill>
          </c:spPr>
          <c:invertIfNegative val="0"/>
          <c:cat>
            <c:strRef>
              <c:f>Geral!$B$25:$D$25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Geral!$B$26:$D$26</c:f>
              <c:numCache>
                <c:formatCode>General</c:formatCode>
                <c:ptCount val="3"/>
                <c:pt idx="0">
                  <c:v>280</c:v>
                </c:pt>
                <c:pt idx="1">
                  <c:v>310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D-449E-8403-00997F03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1"/>
          <c:order val="1"/>
          <c:tx>
            <c:v>Variação %</c:v>
          </c:tx>
          <c:spPr>
            <a:ln w="25400">
              <a:solidFill>
                <a:srgbClr val="707170"/>
              </a:solidFill>
            </a:ln>
          </c:spPr>
          <c:marker>
            <c:symbol val="circle"/>
            <c:size val="5"/>
          </c:marker>
          <c:cat>
            <c:strRef>
              <c:f>Geral!$B$25:$D$25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Geral!$E$26:$F$26</c:f>
              <c:numCache>
                <c:formatCode>0.0%</c:formatCode>
                <c:ptCount val="2"/>
                <c:pt idx="0">
                  <c:v>0.10714285714285714</c:v>
                </c:pt>
                <c:pt idx="1">
                  <c:v>0.14516129032258066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D-449E-8403-00997F03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0001"/>
        <c:axId val="6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4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Proficiência (0-425)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Variação (%)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2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Evolução Nota Matemática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4472C4"/>
            </a:solidFill>
          </c:spPr>
          <c:invertIfNegative val="0"/>
          <c:cat>
            <c:strRef>
              <c:f>Matemática!$B$6:$D$6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Matemática!$B$7:$D$7</c:f>
              <c:numCache>
                <c:formatCode>General</c:formatCode>
                <c:ptCount val="3"/>
                <c:pt idx="0">
                  <c:v>5</c:v>
                </c:pt>
                <c:pt idx="1">
                  <c:v>6.5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3-4E78-B172-44583915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v>Variação %</c:v>
          </c:tx>
          <c:spPr>
            <a:ln w="25400">
              <a:solidFill>
                <a:srgbClr val="707170"/>
              </a:solidFill>
            </a:ln>
          </c:spPr>
          <c:marker>
            <c:symbol val="circle"/>
            <c:size val="5"/>
          </c:marker>
          <c:cat>
            <c:strRef>
              <c:f>Matemática!$B$6:$D$6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Matemática!$E$7:$F$7</c:f>
              <c:numCache>
                <c:formatCode>0.0%</c:formatCode>
                <c:ptCount val="2"/>
                <c:pt idx="0">
                  <c:v>0.3</c:v>
                </c:pt>
                <c:pt idx="1">
                  <c:v>0.23076923076923078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3-4E78-B172-44583915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Variação (%)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Evolução Proficiência Matemática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4472C4"/>
            </a:solidFill>
          </c:spPr>
          <c:invertIfNegative val="0"/>
          <c:cat>
            <c:strRef>
              <c:f>Matemática!$B$25:$D$25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Matemática!$B$26:$D$26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E-46FF-B827-49B8A070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lineChart>
        <c:grouping val="standard"/>
        <c:varyColors val="0"/>
        <c:ser>
          <c:idx val="1"/>
          <c:order val="1"/>
          <c:tx>
            <c:v>Variação %</c:v>
          </c:tx>
          <c:spPr>
            <a:ln w="25400">
              <a:solidFill>
                <a:srgbClr val="707170"/>
              </a:solidFill>
            </a:ln>
          </c:spPr>
          <c:marker>
            <c:symbol val="circle"/>
            <c:size val="5"/>
          </c:marker>
          <c:cat>
            <c:strRef>
              <c:f>Matemática!$B$25:$D$25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Matemática!$E$26:$F$26</c:f>
              <c:numCache>
                <c:formatCode>0.0%</c:formatCode>
                <c:ptCount val="2"/>
                <c:pt idx="0">
                  <c:v>0.25</c:v>
                </c:pt>
                <c:pt idx="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E-46FF-B827-49B8A070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0001"/>
        <c:axId val="6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4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Variação (%)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4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Qtd Alunos (Avançado)</c:v>
          </c:tx>
          <c:spPr>
            <a:solidFill>
              <a:srgbClr val="70AD47"/>
            </a:solidFill>
          </c:spPr>
          <c:invertIfNegative val="0"/>
          <c:cat>
            <c:strRef>
              <c:f>Níveis!$B$6:$D$6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Níveis!$B$10:$D$10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C-412E-BB96-12FFFF39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lineChart>
        <c:grouping val="standard"/>
        <c:varyColors val="0"/>
        <c:ser>
          <c:idx val="1"/>
          <c:order val="1"/>
          <c:tx>
            <c:v>Variação %</c:v>
          </c:tx>
          <c:marker>
            <c:symbol val="none"/>
          </c:marker>
          <c:cat>
            <c:strRef>
              <c:f>Níveis!$B$6:$D$6</c:f>
              <c:strCache>
                <c:ptCount val="3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</c:strCache>
            </c:strRef>
          </c:cat>
          <c:val>
            <c:numRef>
              <c:f>Níveis!$E$10:$F$10</c:f>
              <c:numCache>
                <c:formatCode>0.0%</c:formatCode>
                <c:ptCount val="2"/>
                <c:pt idx="0">
                  <c:v>0.5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C-412E-BB96-12FFFF39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0001"/>
        <c:axId val="6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5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161925</xdr:rowOff>
    </xdr:from>
    <xdr:to>
      <xdr:col>4</xdr:col>
      <xdr:colOff>838200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4</xdr:col>
      <xdr:colOff>828675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171450</xdr:rowOff>
    </xdr:from>
    <xdr:to>
      <xdr:col>4</xdr:col>
      <xdr:colOff>866775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4</xdr:col>
      <xdr:colOff>828675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828675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6"/>
  <sheetViews>
    <sheetView tabSelected="1" workbookViewId="0">
      <selection activeCell="K14" sqref="K14"/>
    </sheetView>
  </sheetViews>
  <sheetFormatPr defaultRowHeight="15" x14ac:dyDescent="0.25"/>
  <cols>
    <col min="1" max="7" width="18.7109375" customWidth="1"/>
  </cols>
  <sheetData>
    <row r="2" spans="1:7" ht="23.25" x14ac:dyDescent="0.35">
      <c r="B2" s="1" t="s">
        <v>0</v>
      </c>
    </row>
    <row r="3" spans="1:7" ht="15.75" x14ac:dyDescent="0.25">
      <c r="B3" s="2" t="s">
        <v>1</v>
      </c>
    </row>
    <row r="6" spans="1:7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25">
      <c r="A7" s="4" t="s">
        <v>9</v>
      </c>
      <c r="B7" s="4">
        <v>7.2</v>
      </c>
      <c r="C7" s="4">
        <v>8.5</v>
      </c>
      <c r="D7" s="4">
        <v>9.1</v>
      </c>
      <c r="E7" s="5">
        <f>(C7-B7)/B7</f>
        <v>0.18055555555555552</v>
      </c>
      <c r="F7" s="5">
        <f>(D7-C7)/C7</f>
        <v>7.0588235294117604E-2</v>
      </c>
      <c r="G7" s="4" t="str">
        <f>IF(F7&gt;0.01,"Increase",IF(F7&lt;-0.01,"Decrease","Stable"))</f>
        <v>Increase</v>
      </c>
    </row>
    <row r="25" spans="1:7" x14ac:dyDescent="0.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</row>
    <row r="26" spans="1:7" x14ac:dyDescent="0.25">
      <c r="A26" s="4" t="s">
        <v>10</v>
      </c>
      <c r="B26" s="4">
        <v>280</v>
      </c>
      <c r="C26" s="4">
        <v>310</v>
      </c>
      <c r="D26" s="4">
        <v>355</v>
      </c>
      <c r="E26" s="5">
        <f>(C26-B26)/B26</f>
        <v>0.10714285714285714</v>
      </c>
      <c r="F26" s="5">
        <f>(D26-C26)/C26</f>
        <v>0.14516129032258066</v>
      </c>
      <c r="G26" s="4" t="str">
        <f>IF(F26&gt;0.01,"Increase",IF(F26&lt;-0.01,"Decrease","Stable"))</f>
        <v>Increase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6"/>
  <sheetViews>
    <sheetView topLeftCell="A12" workbookViewId="0">
      <selection activeCell="I20" sqref="I20"/>
    </sheetView>
  </sheetViews>
  <sheetFormatPr defaultRowHeight="15" x14ac:dyDescent="0.25"/>
  <cols>
    <col min="1" max="7" width="18.7109375" customWidth="1"/>
  </cols>
  <sheetData>
    <row r="2" spans="1:7" ht="23.25" x14ac:dyDescent="0.35">
      <c r="B2" s="1" t="s">
        <v>11</v>
      </c>
    </row>
    <row r="6" spans="1:7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25">
      <c r="A7" s="4" t="s">
        <v>12</v>
      </c>
      <c r="B7" s="4">
        <v>5</v>
      </c>
      <c r="C7" s="4">
        <v>6.5</v>
      </c>
      <c r="D7" s="4">
        <v>8</v>
      </c>
      <c r="E7" s="5">
        <f>(C7-B7)/B7</f>
        <v>0.3</v>
      </c>
      <c r="F7" s="5">
        <f>(D7-C7)/C7</f>
        <v>0.23076923076923078</v>
      </c>
      <c r="G7" s="4" t="str">
        <f>IF(F7&gt;0.01,"Increase",IF(F7&lt;-0.01,"Decrease","Stable"))</f>
        <v>Increase</v>
      </c>
    </row>
    <row r="25" spans="1:7" x14ac:dyDescent="0.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</row>
    <row r="26" spans="1:7" x14ac:dyDescent="0.25">
      <c r="A26" s="4" t="s">
        <v>13</v>
      </c>
      <c r="B26" s="4">
        <v>200</v>
      </c>
      <c r="C26" s="4">
        <v>250</v>
      </c>
      <c r="D26" s="4">
        <v>320</v>
      </c>
      <c r="E26" s="5">
        <f>(C26-B26)/B26</f>
        <v>0.25</v>
      </c>
      <c r="F26" s="5">
        <f>(D26-C26)/C26</f>
        <v>0.28000000000000003</v>
      </c>
      <c r="G26" s="4" t="str">
        <f>IF(F26&gt;0.01,"Increase",IF(F26&lt;-0.01,"Decrease","Stable"))</f>
        <v>Increase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workbookViewId="0">
      <selection activeCell="G18" sqref="G18"/>
    </sheetView>
  </sheetViews>
  <sheetFormatPr defaultRowHeight="15" x14ac:dyDescent="0.25"/>
  <cols>
    <col min="1" max="7" width="18.7109375" customWidth="1"/>
  </cols>
  <sheetData>
    <row r="2" spans="1:6" ht="23.25" x14ac:dyDescent="0.35">
      <c r="B2" s="1" t="s">
        <v>14</v>
      </c>
    </row>
    <row r="6" spans="1:6" x14ac:dyDescent="0.25">
      <c r="A6" s="3" t="s">
        <v>15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6" x14ac:dyDescent="0.25">
      <c r="A7" s="4" t="s">
        <v>16</v>
      </c>
      <c r="B7" s="4">
        <v>50</v>
      </c>
      <c r="C7" s="4">
        <v>40</v>
      </c>
      <c r="D7" s="4">
        <v>20</v>
      </c>
      <c r="E7" s="5">
        <f t="shared" ref="E7:F10" si="0">(C7-B7)/B7</f>
        <v>-0.2</v>
      </c>
      <c r="F7" s="5">
        <f t="shared" si="0"/>
        <v>-0.5</v>
      </c>
    </row>
    <row r="8" spans="1:6" x14ac:dyDescent="0.25">
      <c r="A8" s="4" t="s">
        <v>17</v>
      </c>
      <c r="B8" s="4">
        <v>100</v>
      </c>
      <c r="C8" s="4">
        <v>90</v>
      </c>
      <c r="D8" s="4">
        <v>70</v>
      </c>
      <c r="E8" s="5">
        <f t="shared" si="0"/>
        <v>-0.1</v>
      </c>
      <c r="F8" s="5">
        <f t="shared" si="0"/>
        <v>-0.22222222222222221</v>
      </c>
    </row>
    <row r="9" spans="1:6" x14ac:dyDescent="0.25">
      <c r="A9" s="4" t="s">
        <v>18</v>
      </c>
      <c r="B9" s="4">
        <v>80</v>
      </c>
      <c r="C9" s="4">
        <v>110</v>
      </c>
      <c r="D9" s="4">
        <v>150</v>
      </c>
      <c r="E9" s="5">
        <f t="shared" si="0"/>
        <v>0.375</v>
      </c>
      <c r="F9" s="5">
        <f t="shared" si="0"/>
        <v>0.36363636363636365</v>
      </c>
    </row>
    <row r="10" spans="1:6" x14ac:dyDescent="0.25">
      <c r="A10" s="4" t="s">
        <v>19</v>
      </c>
      <c r="B10" s="4">
        <v>20</v>
      </c>
      <c r="C10" s="4">
        <v>30</v>
      </c>
      <c r="D10" s="4">
        <v>60</v>
      </c>
      <c r="E10" s="5">
        <f t="shared" si="0"/>
        <v>0.5</v>
      </c>
      <c r="F10" s="5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Matemática</vt:lpstr>
      <vt:lpstr>Níveis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Calderon</cp:lastModifiedBy>
  <dcterms:created xsi:type="dcterms:W3CDTF">2025-12-30T17:58:42Z</dcterms:created>
  <dcterms:modified xsi:type="dcterms:W3CDTF">2025-12-30T17:59:23Z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2025-12-30T17:59:23Z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924dead7-878b-42f5-af5a-e632d2325a02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